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CLAUSE-INSERTS" sheetId="2" state="visible" r:id="rId2"/>
    <sheet xmlns:r="http://schemas.openxmlformats.org/officeDocument/2006/relationships" name="DEAL-TRACKER" sheetId="3" state="visible" r:id="rId3"/>
    <sheet xmlns:r="http://schemas.openxmlformats.org/officeDocument/2006/relationships" name="USAGE-RIGHTS" sheetId="4" state="visible" r:id="rId4"/>
    <sheet xmlns:r="http://schemas.openxmlformats.org/officeDocument/2006/relationships" name="INVOICE" sheetId="5" state="visible" r:id="rId5"/>
    <sheet xmlns:r="http://schemas.openxmlformats.org/officeDocument/2006/relationships" name="CHASE-LOG" sheetId="6" state="visible" r:id="rId6"/>
    <sheet xmlns:r="http://schemas.openxmlformats.org/officeDocument/2006/relationships" name="WORKED-EXAMPL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quot;$&quot;#,##0.00"/>
    <numFmt numFmtId="166" formatCode="yyyy-mm-dd"/>
  </numFmts>
  <fonts count="7">
    <font>
      <name val="Calibri"/>
      <family val="2"/>
      <color theme="1"/>
      <sz val="11"/>
      <scheme val="minor"/>
    </font>
    <font>
      <b val="1"/>
      <color rgb="002E1A2F"/>
      <sz val="14"/>
    </font>
    <font>
      <i val="1"/>
      <color rgb="00555555"/>
      <sz val="10"/>
    </font>
    <font>
      <b val="1"/>
      <color rgb="002E1A2F"/>
      <sz val="11"/>
    </font>
    <font>
      <b val="1"/>
      <sz val="11"/>
    </font>
    <font>
      <color rgb="000563C1"/>
      <sz val="10"/>
    </font>
    <font>
      <b val="1"/>
      <color rgb="00FFFFFF"/>
      <sz val="11"/>
    </font>
  </fonts>
  <fills count="4">
    <fill>
      <patternFill/>
    </fill>
    <fill>
      <patternFill patternType="gray125"/>
    </fill>
    <fill>
      <patternFill patternType="solid">
        <fgColor rgb="002E1A2F"/>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top" wrapText="1"/>
    </xf>
    <xf numFmtId="0" fontId="0" fillId="0" borderId="1" pivotButton="0" quotePrefix="0" xfId="0"/>
    <xf numFmtId="0" fontId="4" fillId="0"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164" fontId="0" fillId="3" borderId="1" pivotButton="0" quotePrefix="0" xfId="0"/>
    <xf numFmtId="0" fontId="0" fillId="3" borderId="1" pivotButton="0" quotePrefix="0" xfId="0"/>
    <xf numFmtId="165" fontId="0" fillId="3" borderId="1" pivotButton="0" quotePrefix="0" xfId="0"/>
    <xf numFmtId="9" fontId="0" fillId="3" borderId="1" pivotButton="0" quotePrefix="0" xfId="0"/>
    <xf numFmtId="165" fontId="0" fillId="0" borderId="0" pivotButton="0" quotePrefix="0" xfId="0"/>
    <xf numFmtId="166" fontId="0" fillId="3" borderId="1" pivotButton="0" quotePrefix="0" xfId="0"/>
    <xf numFmtId="165" fontId="4" fillId="0" borderId="0" pivotButton="0" quotePrefix="0" xfId="0"/>
    <xf numFmtId="0" fontId="3" fillId="0" borderId="0" pivotButton="0" quotePrefix="0" xfId="0"/>
    <xf numFmtId="0" fontId="1" fillId="0" borderId="0" pivotButton="0" quotePrefix="0" xfId="0"/>
    <xf numFmtId="165" fontId="1" fillId="0" borderId="0" pivotButton="0" quotePrefix="0" xfId="0"/>
    <xf numFmtId="166" fontId="0"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38"/>
  <sheetViews>
    <sheetView workbookViewId="0">
      <selection activeCell="A1" sqref="A1"/>
    </sheetView>
  </sheetViews>
  <sheetFormatPr baseColWidth="8" defaultRowHeight="15"/>
  <cols>
    <col width="55" customWidth="1" min="1" max="1"/>
    <col width="55" customWidth="1" min="2" max="2"/>
  </cols>
  <sheetData>
    <row r="1">
      <c r="A1" s="1" t="inlineStr">
        <is>
          <t>Creator Brand-Deal Payment &amp; Contract Kit</t>
        </is>
      </c>
    </row>
    <row r="2">
      <c r="A2" s="2" t="inlineStr">
        <is>
          <t>Get paid on time, every brand deal — contract clauses, payment tracking, and a chase sequence that protects the relationship.</t>
        </is>
      </c>
    </row>
    <row r="3"/>
    <row r="4">
      <c r="A4" s="3" t="inlineStr">
        <is>
          <t>Start here — 4 steps</t>
        </is>
      </c>
    </row>
    <row r="5">
      <c r="A5" s="2" t="inlineStr">
        <is>
          <t>1. Read the 8 clause inserts (CLAUSE-INSERTS sheet). Fill the [BRACKETS] with your defaults: late-fee rate, net terms, payment method.</t>
        </is>
      </c>
    </row>
    <row r="6">
      <c r="A6" s="2" t="inlineStr">
        <is>
          <t>2. Paste the clauses into your contract template — or save them as a “Creator Addendum” attached to brand drafts. Get it initialed BEFORE you sign.</t>
        </is>
      </c>
    </row>
    <row r="7">
      <c r="A7" s="2" t="inlineStr">
        <is>
          <t>3. Log every live deal in DEAL-TRACKER and every usage window in USAGE-RIGHTS. The sheets compute overdue days, late fees, and expiry alerts.</t>
        </is>
      </c>
    </row>
    <row r="8">
      <c r="A8" s="2" t="inlineStr">
        <is>
          <t>4. Invoice within 24 hours (INVOICE sheet). When a due date approaches, run the 5-step chase sequence and log every send in CHASE-LOG.</t>
        </is>
      </c>
    </row>
    <row r="9"/>
    <row r="10">
      <c r="A10" s="3" t="inlineStr">
        <is>
          <t>The 5 rules of getting paid</t>
        </is>
      </c>
    </row>
    <row r="11">
      <c r="A11" s="4" t="inlineStr">
        <is>
          <t>Nothing starts without money moving first — 50% upfront (or staged milestones) before production.</t>
        </is>
      </c>
    </row>
    <row r="12">
      <c r="A12" s="4" t="inlineStr">
        <is>
          <t>Every deal gets a written payment clock: Net-30 default; longer terms carry an uplift; the clock starts on delivery or deemed approval.</t>
        </is>
      </c>
    </row>
    <row r="13">
      <c r="A13" s="4" t="inlineStr">
        <is>
          <t>Lateness has a written price: a late fee in the contract, restated on every invoice.</t>
        </is>
      </c>
    </row>
    <row r="14">
      <c r="A14" s="4" t="inlineStr">
        <is>
          <t>Usage and exclusivity are inventory: duration caps, named platforms, named competitors, separate fees, expiry dates in the tracker.</t>
        </is>
      </c>
    </row>
    <row r="15">
      <c r="A15" s="4" t="inlineStr">
        <is>
          <t>Chase early, chase warm, chase in writing — the sequence starts BEFORE the due date; every send is logged.</t>
        </is>
      </c>
    </row>
    <row r="16"/>
    <row r="17">
      <c r="A17" s="3" t="inlineStr">
        <is>
          <t>Evidence — the pain is documented (quoting the published sources)</t>
        </is>
      </c>
    </row>
    <row r="18">
      <c r="A18" s="2" t="inlineStr">
        <is>
          <t>These are the sources' figures, not ours. We did not measure them.</t>
        </is>
      </c>
    </row>
    <row r="19">
      <c r="A19" s="5" t="inlineStr">
        <is>
          <t>Campaign · 2026 investigation (via Tipalti, Lumanu)</t>
        </is>
      </c>
    </row>
    <row r="20">
      <c r="A20" s="4" t="inlineStr">
        <is>
          <t>“Up to 87% of creators have been paid late or experienced payment issues.”</t>
        </is>
      </c>
    </row>
    <row r="21">
      <c r="A21" s="6" t="inlineStr">
        <is>
          <t>http://www.campaignlive.com/article/new-campaign-report-reveals-why-creators-arent-getting-paid-time/1930824</t>
        </is>
      </c>
    </row>
    <row r="22">
      <c r="A22" s="5" t="inlineStr">
        <is>
          <t>Tipalti via Digiday · 2026 (via Gigapay)</t>
        </is>
      </c>
    </row>
    <row r="23">
      <c r="A23" s="4" t="inlineStr">
        <is>
          <t>“56% of creators reported experiencing late payments on top of those already long terms”; net-60 most common; “payment terms stretching to 120 days.”</t>
        </is>
      </c>
    </row>
    <row r="24">
      <c r="A24" s="6" t="inlineStr">
        <is>
          <t>https://www.gigapay.com/blog/why-creators-put-fast-paying-brands-first</t>
        </is>
      </c>
    </row>
    <row r="25">
      <c r="A25" s="5" t="inlineStr">
        <is>
          <t>Influencer + Crowd DNA via eMarketer · Mar 2025</t>
        </is>
      </c>
    </row>
    <row r="26">
      <c r="A26" s="4" t="inlineStr">
        <is>
          <t>“41% of creators name payment delays as their single biggest pain point when working with brands.”</t>
        </is>
      </c>
    </row>
    <row r="27">
      <c r="A27" s="6" t="inlineStr">
        <is>
          <t>https://www.gigapay.com/blog/why-creators-put-fast-paying-brands-first</t>
        </is>
      </c>
    </row>
    <row r="28">
      <c r="A28" s="5" t="inlineStr">
        <is>
          <t>Marketing-Interactive · Oct 2026 (Partipost)</t>
        </is>
      </c>
    </row>
    <row r="29">
      <c r="A29" s="4" t="inlineStr">
        <is>
          <t>Creators across Southeast Asia appealed over payout delays; one creator “received 50% of the payment promised after legal action was threatened”; the platform's Instagram was deleted; the CEO acknowledged delays.</t>
        </is>
      </c>
    </row>
    <row r="30">
      <c r="A30" s="6" t="inlineStr">
        <is>
          <t>https://www.marketing-interactive.com/partipost-faces-creator-backlash-over-alleged-payment-delays-across-sea</t>
        </is>
      </c>
    </row>
    <row r="31">
      <c r="A31" s="5" t="inlineStr">
        <is>
          <t>APMA · Oct 2026 (impact.com)</t>
        </is>
      </c>
    </row>
    <row r="32">
      <c r="A32" s="4" t="inlineStr">
        <is>
          <t>“Reducing the point at which brand accounts are suspended for overdue invoices from 60 to 40 days” (effective 1 Oct 2026); “51% of publishers experienced a moderate-to-significant business impact from payment problems.”</t>
        </is>
      </c>
    </row>
    <row r="33">
      <c r="A33" s="6" t="inlineStr">
        <is>
          <t>https://theapma.co.uk/faster-affiliate-payments-impact-com-cuts-overdue-payment-window-to-40-days/</t>
        </is>
      </c>
    </row>
    <row r="34">
      <c r="A34" s="5" t="inlineStr">
        <is>
          <t>ParaSocial Magazine · 5 Oct 2026 (TikTok One Pay)</t>
        </is>
      </c>
    </row>
    <row r="35">
      <c r="A35" s="4" t="inlineStr">
        <is>
          <t>“Routes brand deal payments to creators in under 30 days with zero fees, undercutting industry norms of net 60 or 90.”</t>
        </is>
      </c>
    </row>
    <row r="36">
      <c r="A36" s="6" t="inlineStr">
        <is>
          <t>https://www.parasocialmagazine.com/money/tiktok-one-pay-routes-brand-deals-in-under-30-days/</t>
        </is>
      </c>
    </row>
    <row r="37"/>
    <row r="38">
      <c r="A38" s="2" t="inlineStr">
        <is>
          <t>Not legal advice. For high-value deals, have a local lawyer review the final contract. See LIMITS.md.</t>
        </is>
      </c>
    </row>
  </sheetData>
  <mergeCells count="34">
    <mergeCell ref="A24:B24"/>
    <mergeCell ref="A30:B30"/>
    <mergeCell ref="A15:B15"/>
    <mergeCell ref="A11:B11"/>
    <mergeCell ref="A36:B36"/>
    <mergeCell ref="A1:B1"/>
    <mergeCell ref="A6:B6"/>
    <mergeCell ref="A7:B7"/>
    <mergeCell ref="A25:B25"/>
    <mergeCell ref="A18:B18"/>
    <mergeCell ref="A27:B27"/>
    <mergeCell ref="A12:B12"/>
    <mergeCell ref="A26:B26"/>
    <mergeCell ref="A21:B21"/>
    <mergeCell ref="A2:B2"/>
    <mergeCell ref="A33:B33"/>
    <mergeCell ref="A5:B5"/>
    <mergeCell ref="A32:B32"/>
    <mergeCell ref="A14:B14"/>
    <mergeCell ref="A17:B17"/>
    <mergeCell ref="A23:B23"/>
    <mergeCell ref="A8:B8"/>
    <mergeCell ref="A22:B22"/>
    <mergeCell ref="A35:B35"/>
    <mergeCell ref="A4:B4"/>
    <mergeCell ref="A20:B20"/>
    <mergeCell ref="A38:B38"/>
    <mergeCell ref="A29:B29"/>
    <mergeCell ref="A19:B19"/>
    <mergeCell ref="A10:B10"/>
    <mergeCell ref="A28:B28"/>
    <mergeCell ref="A13:B13"/>
    <mergeCell ref="A31:B31"/>
    <mergeCell ref="A34:B3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11"/>
  <sheetViews>
    <sheetView workbookViewId="0">
      <selection activeCell="A1" sqref="A1"/>
    </sheetView>
  </sheetViews>
  <sheetFormatPr baseColWidth="8" defaultRowHeight="15"/>
  <cols>
    <col width="4" customWidth="1" min="1" max="1"/>
    <col width="22" customWidth="1" min="2" max="2"/>
    <col width="20" customWidth="1" min="3" max="3"/>
    <col width="75" customWidth="1" min="4" max="4"/>
    <col width="30" customWidth="1" min="5" max="5"/>
    <col width="32" customWidth="1" min="6" max="6"/>
    <col width="30" customWidth="1" min="7" max="7"/>
  </cols>
  <sheetData>
    <row r="1">
      <c r="A1" s="1" t="inlineStr">
        <is>
          <t>CLAUSE-INSERTS</t>
        </is>
      </c>
    </row>
    <row r="2">
      <c r="A2" s="2" t="inlineStr">
        <is>
          <t>Copy-paste each clause under the named contract section BEFORE you sign. Fill every [BRACKET].</t>
        </is>
      </c>
    </row>
    <row r="3">
      <c r="A3" s="7" t="inlineStr">
        <is>
          <t>#</t>
        </is>
      </c>
      <c r="B3" s="7" t="inlineStr">
        <is>
          <t>Clause</t>
        </is>
      </c>
      <c r="C3" s="7" t="inlineStr">
        <is>
          <t>Insert under</t>
        </is>
      </c>
      <c r="D3" s="7" t="inlineStr">
        <is>
          <t>Wording (copy-paste)</t>
        </is>
      </c>
      <c r="E3" s="7" t="inlineStr">
        <is>
          <t>Fill-in defaults</t>
        </is>
      </c>
      <c r="F3" s="7" t="inlineStr">
        <is>
          <t>Why it matters</t>
        </is>
      </c>
      <c r="G3" s="7" t="inlineStr">
        <is>
          <t>If they push back</t>
        </is>
      </c>
    </row>
    <row r="4" ht="150" customHeight="1">
      <c r="A4" s="8" t="n">
        <v>1</v>
      </c>
      <c r="B4" s="9" t="inlineStr">
        <is>
          <t>50% upfront / milestone payment schedule</t>
        </is>
      </c>
      <c r="C4" s="10" t="inlineStr">
        <is>
          <t>Compensation / Payment Terms</t>
        </is>
      </c>
      <c r="D4" s="10" t="inlineStr">
        <is>
          <t>FEES AND PAYMENT SCHEDULE. Brand shall pay Creator total fees of [AMOUNT] [CURRENCY] according to the following schedule: (a) fifty percent (50%) due within [5] business days of both parties signing this Agreement (the “Upfront Payment”); (b) the remaining fifty percent (50%) due within [30] days of Creator's delivery of the final Deliverables (the “Final Payment”). Creator is not required to begin production before receipt of the Upfront Payment. If the Upfront Payment is more than [7] days late, Creator may pause all work until payment is received, and all delivery deadlines shift day-for-day.</t>
        </is>
      </c>
      <c r="E4" s="10" t="inlineStr">
        <is>
          <t>[AMOUNT] = total fee · [CURRENCY] = e.g. USD · [5] = business days to pay upfront · [30] = days for final payment · [7] = grace days before pause</t>
        </is>
      </c>
      <c r="F4" s="10" t="inlineStr">
        <is>
          <t>Most late-payment pain starts at 0% upfront — the creator delivers everything before any money moves. Upfront also filters out brands that were never going to pay on time.</t>
        </is>
      </c>
      <c r="G4" s="10" t="inlineStr">
        <is>
          <t>Offer the ladder: 30% on signing, 40% on draft approval, 30% on final delivery. Never 100% on net-60+ with a new brand.</t>
        </is>
      </c>
    </row>
    <row r="5" ht="150" customHeight="1">
      <c r="A5" s="8" t="n">
        <v>2</v>
      </c>
      <c r="B5" s="9" t="inlineStr">
        <is>
          <t>Late-payment fee</t>
        </is>
      </c>
      <c r="C5" s="10" t="inlineStr">
        <is>
          <t>Payment Terms / Late Payment</t>
        </is>
      </c>
      <c r="D5" s="10" t="inlineStr">
        <is>
          <t>LATE-PAYMENT FEE. Any amount not paid by its due date accrues a late fee of [1.5]% per month (or the maximum rate permitted by applicable law, if lower), calculated daily from the day after the due date until paid in full. The fee applies automatically without further notice and is added to the next invoice.</t>
        </is>
      </c>
      <c r="E5" s="10" t="inlineStr">
        <is>
          <t>[1.5] = monthly % (check your country's cap)</t>
        </is>
      </c>
      <c r="F5" s="10" t="inlineStr">
        <is>
          <t>Without a written late fee, delay costs the brand nothing. A contract late fee turns delay into a running meter.</t>
        </is>
      </c>
      <c r="G5" s="10" t="inlineStr">
        <is>
          <t>A flat fee works: “[AMOUNT] [CURRENCY] per [30] days overdue.” The principle matters more than the number.</t>
        </is>
      </c>
    </row>
    <row r="6" ht="150" customHeight="1">
      <c r="A6" s="8" t="n">
        <v>3</v>
      </c>
      <c r="B6" s="9" t="inlineStr">
        <is>
          <t>Kill fee</t>
        </is>
      </c>
      <c r="C6" s="10" t="inlineStr">
        <is>
          <t>Cancellation / Termination</t>
        </is>
      </c>
      <c r="D6" s="10" t="inlineStr">
        <is>
          <t>KILL FEE. If Brand cancels this Agreement after signing: (a) before Creator begins production — [50]% of the total fees; (b) after production has begun or any Deliverable has been delivered — [100]% of the total fees. The kill fee is due within [15] days of the cancellation notice. Fees already paid are non-refundable and count toward the kill fee.</t>
        </is>
      </c>
      <c r="E6" s="10" t="inlineStr">
        <is>
          <t>[50] = % if cancelled pre-production · [100] = % once production started · [15] = days to pay the kill fee</t>
        </is>
      </c>
      <c r="F6" s="10" t="inlineStr">
        <is>
          <t>Cancelled deals are invisible work: concepting, calendar blocks, turned-down brands. Without a kill fee the brand's change of plans is free.</t>
        </is>
      </c>
      <c r="G6" s="10" t="inlineStr">
        <is>
          <t>Tie to stages: 25% after concept approval, 50% after filming, 100% after delivery.</t>
        </is>
      </c>
    </row>
    <row r="7" ht="150" customHeight="1">
      <c r="A7" s="8" t="n">
        <v>4</v>
      </c>
      <c r="B7" s="9" t="inlineStr">
        <is>
          <t>Usage-rights caps</t>
        </is>
      </c>
      <c r="C7" s="10" t="inlineStr">
        <is>
          <t>Usage Rights / License</t>
        </is>
      </c>
      <c r="D7" s="10" t="inlineStr">
        <is>
          <t>USAGE RIGHTS. Brand's license to the Deliverables is limited to [12] months from first posting, on [Instagram, TikTok] only, for organic posting. Paid amplification, whitelisting, dark posts, and use in Brand-owned advertising require a separate written agreement and a fee of [AMOUNT] [CURRENCY] per [30] days of paid use. Any use beyond the granted scope is unauthorized and will be invoiced at [2]x the original fee per occurrence.</t>
        </is>
      </c>
      <c r="E7" s="10" t="inlineStr">
        <is>
          <t>[12] = months · [Instagram, TikTok] = platforms · [AMOUNT] = paid-use fee · [30] = days per fee period · [2] = unauthorized-use multiplier</t>
        </is>
      </c>
      <c r="F7" s="10" t="inlineStr">
        <is>
          <t>Perpetual, everywhere, paid-ad usage buried in boilerplate is the most expensive line creators give away free. Usage is inventory.</t>
        </is>
      </c>
      <c r="G7" s="10" t="inlineStr">
        <is>
          <t>Minimum viable cap: [12] months + named platforms + “paid use billed separately.” Never “in perpetuity, all media” at a single-post fee.</t>
        </is>
      </c>
    </row>
    <row r="8" ht="150" customHeight="1">
      <c r="A8" s="8" t="n">
        <v>5</v>
      </c>
      <c r="B8" s="9" t="inlineStr">
        <is>
          <t>Exclusivity limits</t>
        </is>
      </c>
      <c r="C8" s="10" t="inlineStr">
        <is>
          <t>Exclusivity</t>
        </is>
      </c>
      <c r="D8" s="10" t="inlineStr">
        <is>
          <t>EXCLUSIVITY. Category exclusivity applies only if expressly agreed here. Any exclusivity is limited to [90] days from first posting, applies only to the following named competitors: [COMPETITOR 1, COMPETITOR 2], and carries a separate exclusivity fee of [AMOUNT] [CURRENCY]. No exclusivity is implied beyond what is written in this clause.</t>
        </is>
      </c>
      <c r="E8" s="10" t="inlineStr">
        <is>
          <t>[90] = days · [COMPETITOR 1, COMPETITOR 2] = named competitors · [AMOUNT] = exclusivity fee</t>
        </is>
      </c>
      <c r="F8" s="10" t="inlineStr">
        <is>
          <t>Vague exclusivity can silently block your income for months across a whole category. Named + dated + priced turns a blank check into a product.</t>
        </is>
      </c>
      <c r="G8" s="10" t="inlineStr">
        <is>
          <t>Shorten instead of widening: 60 days, three named competitors. Never category-wide without a fee covering blocked deals.</t>
        </is>
      </c>
    </row>
    <row r="9" ht="150" customHeight="1">
      <c r="A9" s="8" t="n">
        <v>6</v>
      </c>
      <c r="B9" s="9" t="inlineStr">
        <is>
          <t>Net-term cap</t>
        </is>
      </c>
      <c r="C9" s="10" t="inlineStr">
        <is>
          <t>Payment Terms</t>
        </is>
      </c>
      <c r="D9" s="10" t="inlineStr">
        <is>
          <t>PAYMENT TERMS. Invoices are due within [30] days of the invoice date (“Net 30”). Payment terms longer than Net 30 require a [15]% uplift on total fees. Terms beyond Net 60 are not accepted.</t>
        </is>
      </c>
      <c r="E9" s="10" t="inlineStr">
        <is>
          <t>[30] = days · [15] = % uplift for longer terms</t>
        </is>
      </c>
      <c r="F9" s="10" t="inlineStr">
        <is>
          <t>Each extra 30 days is an interest-free loan you give the brand. The uplift prices the wait.</t>
        </is>
      </c>
      <c r="G9" s="10" t="inlineStr">
        <is>
          <t>Middle ground: net-45 with [7]% uplift. Hold the line at net-60 maximum, only with uplift.</t>
        </is>
      </c>
    </row>
    <row r="10" ht="150" customHeight="1">
      <c r="A10" s="8" t="n">
        <v>7</v>
      </c>
      <c r="B10" s="9" t="inlineStr">
        <is>
          <t>Approval-silence clause</t>
        </is>
      </c>
      <c r="C10" s="10" t="inlineStr">
        <is>
          <t>Deliverables / Approvals</t>
        </is>
      </c>
      <c r="D10" s="10" t="inlineStr">
        <is>
          <t>APPROVAL. Brand has [5] business days from delivery of each Deliverable to request revisions in writing. If no written revision request is received within that period, the Deliverable is deemed approved as delivered, and the payment clock starts on the date of deemed approval. Revision rounds are limited to [2]; further rounds are billed at [AMOUNT] [CURRENCY] each.</t>
        </is>
      </c>
      <c r="E10" s="10" t="inlineStr">
        <is>
          <t>[5] = business days · [2] = revision rounds included · [AMOUNT] = fee per extra round</t>
        </is>
      </c>
      <c r="F10" s="10" t="inlineStr">
        <is>
          <t>The quietest delay is the deliverable sitting “under review” for six weeks while the invoice clock never starts. Silence = approval fixes that.</t>
        </is>
      </c>
      <c r="G10" s="10" t="inlineStr">
        <is>
          <t>Extend to [7] business days but keep the deeming language — the deeming is the whole clause.</t>
        </is>
      </c>
    </row>
    <row r="11" ht="150" customHeight="1">
      <c r="A11" s="8" t="n">
        <v>8</v>
      </c>
      <c r="B11" s="9" t="inlineStr">
        <is>
          <t>Payment method + who pays the fees</t>
        </is>
      </c>
      <c r="C11" s="10" t="inlineStr">
        <is>
          <t>Payment Terms / Payment Method</t>
        </is>
      </c>
      <c r="D11" s="10" t="inlineStr">
        <is>
          <t>PAYMENT METHOD. Brand shall pay by [bank transfer / PayPal / Wise] to the account Creator designates in writing. All transfer, platform, and currency-conversion fees are borne by Brand; Creator shall receive the full invoiced amount net of any deductions. The fee stated in this Agreement is [gross/net] of applicable withholding taxes — see tax documentation exchanged at signing.</t>
        </is>
      </c>
      <c r="E11" s="10" t="inlineStr">
        <is>
          <t>[bank transfer / PayPal / Wise] = method · [gross/net] = pick one</t>
        </is>
      </c>
      <c r="F11" s="10" t="inlineStr">
        <is>
          <t>Cross-border creators routinely lose 3–8% to transfer and FX fees taken off the invoice — a silent pay cut on every deal.</t>
        </is>
      </c>
      <c r="G11" s="10" t="inlineStr">
        <is>
          <t>Minimum: fix the method and currency in writing and state who bears conversion fees.</t>
        </is>
      </c>
    </row>
  </sheetData>
  <mergeCells count="2">
    <mergeCell ref="A2:G2"/>
    <mergeCell ref="A1:G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Q15"/>
  <sheetViews>
    <sheetView workbookViewId="0">
      <selection activeCell="A1" sqref="A1"/>
    </sheetView>
  </sheetViews>
  <sheetFormatPr baseColWidth="8" defaultRowHeight="15"/>
  <cols>
    <col width="14" customWidth="1" min="1" max="1"/>
    <col width="20" customWidth="1" min="2" max="2"/>
    <col width="12" customWidth="1" min="3" max="3"/>
    <col width="10" customWidth="1" min="4" max="4"/>
    <col width="12" customWidth="1" min="5" max="5"/>
    <col width="12" customWidth="1" min="6" max="6"/>
    <col width="12" customWidth="1" min="7" max="7"/>
    <col width="11" customWidth="1" min="8" max="8"/>
    <col width="10" customWidth="1" min="9" max="9"/>
    <col width="12" customWidth="1" min="10" max="10"/>
    <col width="12" customWidth="1" min="11" max="11"/>
    <col width="12" customWidth="1" min="12" max="12"/>
    <col width="11" customWidth="1" min="13" max="13"/>
    <col width="10" customWidth="1" min="14" max="14"/>
    <col width="13" customWidth="1" min="15" max="15"/>
    <col width="13" customWidth="1" min="16" max="16"/>
    <col width="22" customWidth="1" min="17" max="17"/>
  </cols>
  <sheetData>
    <row r="1">
      <c r="A1" s="1" t="inlineStr">
        <is>
          <t>DEAL-TRACKER</t>
        </is>
      </c>
    </row>
    <row r="2">
      <c r="A2" s="11" t="inlineStr">
        <is>
          <t>Monthly late-fee rate (e.g. 0.015 = 1.5%)</t>
        </is>
      </c>
      <c r="B2" s="12" t="n">
        <v>0.015</v>
      </c>
    </row>
    <row r="3">
      <c r="A3" s="2" t="inlineStr">
        <is>
          <t>Enter each live deal: brand, fee, upfront %, dates. Status, days overdue, late fee, and outstanding compute automatically. Set your monthly late-fee rate in the yellow cell above.</t>
        </is>
      </c>
    </row>
    <row r="4">
      <c r="A4" s="7" t="inlineStr">
        <is>
          <t>Brand</t>
        </is>
      </c>
      <c r="B4" s="7" t="inlineStr">
        <is>
          <t>Deal</t>
        </is>
      </c>
      <c r="C4" s="7" t="inlineStr">
        <is>
          <t>Total fee (USD)</t>
        </is>
      </c>
      <c r="D4" s="7" t="inlineStr">
        <is>
          <t>Upfront %</t>
        </is>
      </c>
      <c r="E4" s="7" t="inlineStr">
        <is>
          <t>Upfront amount</t>
        </is>
      </c>
      <c r="F4" s="7" t="inlineStr">
        <is>
          <t>Upfront due</t>
        </is>
      </c>
      <c r="G4" s="7" t="inlineStr">
        <is>
          <t>Upfront paid</t>
        </is>
      </c>
      <c r="H4" s="7" t="inlineStr">
        <is>
          <t>Upfront status</t>
        </is>
      </c>
      <c r="I4" s="7" t="inlineStr">
        <is>
          <t>Upfront days overdue</t>
        </is>
      </c>
      <c r="J4" s="7" t="inlineStr">
        <is>
          <t>Final amount</t>
        </is>
      </c>
      <c r="K4" s="7" t="inlineStr">
        <is>
          <t>Final due</t>
        </is>
      </c>
      <c r="L4" s="7" t="inlineStr">
        <is>
          <t>Final paid</t>
        </is>
      </c>
      <c r="M4" s="7" t="inlineStr">
        <is>
          <t>Final status</t>
        </is>
      </c>
      <c r="N4" s="7" t="inlineStr">
        <is>
          <t>Final days overdue</t>
        </is>
      </c>
      <c r="O4" s="7" t="inlineStr">
        <is>
          <t>Late fee accrued</t>
        </is>
      </c>
      <c r="P4" s="7" t="inlineStr">
        <is>
          <t>Total outstanding</t>
        </is>
      </c>
      <c r="Q4" s="7" t="inlineStr">
        <is>
          <t>Notes</t>
        </is>
      </c>
    </row>
    <row r="5">
      <c r="A5" s="13" t="inlineStr">
        <is>
          <t>GlowSkin</t>
        </is>
      </c>
      <c r="B5" s="13" t="inlineStr">
        <is>
          <t>Serum launch</t>
        </is>
      </c>
      <c r="C5" s="14" t="n">
        <v>2000</v>
      </c>
      <c r="D5" s="15" t="n">
        <v>0.5</v>
      </c>
      <c r="E5" s="16">
        <f>C5*D5</f>
        <v/>
      </c>
      <c r="F5" s="17" t="n">
        <v>46235</v>
      </c>
      <c r="G5" s="17" t="n">
        <v>46235</v>
      </c>
      <c r="H5">
        <f>IF(G5&lt;&gt;"","PAID",IF(F5="","—",IF(TODAY()&gt;F5,"OVERDUE","DUE")))</f>
        <v/>
      </c>
      <c r="I5">
        <f>IF(AND(G5="",F5&lt;&gt;""),MAX(0,TODAY()-F5),0)</f>
        <v/>
      </c>
      <c r="J5" s="16">
        <f>C5-E5</f>
        <v/>
      </c>
      <c r="K5" s="17" t="n">
        <v>46249</v>
      </c>
      <c r="L5" s="17" t="n">
        <v>46249</v>
      </c>
      <c r="M5">
        <f>IF(L5&lt;&gt;"","PAID",IF(K5="","—",IF(TODAY()&gt;K5,"OVERDUE","DUE")))</f>
        <v/>
      </c>
      <c r="N5">
        <f>IF(AND(L5="",K5&lt;&gt;""),MAX(0,TODAY()-K5),0)</f>
        <v/>
      </c>
      <c r="O5" s="16">
        <f>(I5*E5+N5*J5)*$B$2/30</f>
        <v/>
      </c>
      <c r="P5" s="16">
        <f>IF(G5="",E5,0)+IF(L5="",J5,0)+O5</f>
        <v/>
      </c>
      <c r="Q5" s="13" t="n"/>
    </row>
    <row r="6">
      <c r="A6" s="13" t="inlineStr">
        <is>
          <t>FitFuel</t>
        </is>
      </c>
      <c r="B6" s="13" t="inlineStr">
        <is>
          <t>3-video pack</t>
        </is>
      </c>
      <c r="C6" s="14" t="n">
        <v>3500</v>
      </c>
      <c r="D6" s="15" t="n">
        <v>0.5</v>
      </c>
      <c r="E6" s="16">
        <f>C6*D6</f>
        <v/>
      </c>
      <c r="F6" s="17" t="n">
        <v>46254</v>
      </c>
      <c r="G6" s="17" t="n">
        <v>46254</v>
      </c>
      <c r="H6">
        <f>IF(G6&lt;&gt;"","PAID",IF(F6="","—",IF(TODAY()&gt;F6,"OVERDUE","DUE")))</f>
        <v/>
      </c>
      <c r="I6">
        <f>IF(AND(G6="",F6&lt;&gt;""),MAX(0,TODAY()-F6),0)</f>
        <v/>
      </c>
      <c r="J6" s="16">
        <f>C6-E6</f>
        <v/>
      </c>
      <c r="K6" s="17" t="n">
        <v>46272</v>
      </c>
      <c r="L6" s="17" t="n"/>
      <c r="M6">
        <f>IF(L6&lt;&gt;"","PAID",IF(K6="","—",IF(TODAY()&gt;K6,"OVERDUE","DUE")))</f>
        <v/>
      </c>
      <c r="N6">
        <f>IF(AND(L6="",K6&lt;&gt;""),MAX(0,TODAY()-K6),0)</f>
        <v/>
      </c>
      <c r="O6" s="16">
        <f>(I6*E6+N6*J6)*$B$2/30</f>
        <v/>
      </c>
      <c r="P6" s="16">
        <f>IF(G6="",E6,0)+IF(L6="",J6,0)+O6</f>
        <v/>
      </c>
      <c r="Q6" s="13" t="n"/>
    </row>
    <row r="7">
      <c r="A7" s="13" t="n"/>
      <c r="B7" s="13" t="n"/>
      <c r="C7" s="14" t="n"/>
      <c r="D7" s="15" t="n">
        <v>0.5</v>
      </c>
      <c r="E7" s="16">
        <f>C7*D7</f>
        <v/>
      </c>
      <c r="F7" s="17" t="n"/>
      <c r="G7" s="17" t="n"/>
      <c r="H7">
        <f>IF(G7&lt;&gt;"","PAID",IF(F7="","—",IF(TODAY()&gt;F7,"OVERDUE","DUE")))</f>
        <v/>
      </c>
      <c r="I7">
        <f>IF(AND(G7="",F7&lt;&gt;""),MAX(0,TODAY()-F7),0)</f>
        <v/>
      </c>
      <c r="J7" s="16">
        <f>C7-E7</f>
        <v/>
      </c>
      <c r="K7" s="17" t="n"/>
      <c r="L7" s="17" t="n"/>
      <c r="M7">
        <f>IF(L7&lt;&gt;"","PAID",IF(K7="","—",IF(TODAY()&gt;K7,"OVERDUE","DUE")))</f>
        <v/>
      </c>
      <c r="N7">
        <f>IF(AND(L7="",K7&lt;&gt;""),MAX(0,TODAY()-K7),0)</f>
        <v/>
      </c>
      <c r="O7" s="16">
        <f>(I7*E7+N7*J7)*$B$2/30</f>
        <v/>
      </c>
      <c r="P7" s="16">
        <f>IF(G7="",E7,0)+IF(L7="",J7,0)+O7</f>
        <v/>
      </c>
      <c r="Q7" s="13" t="n"/>
    </row>
    <row r="8">
      <c r="A8" s="13" t="n"/>
      <c r="B8" s="13" t="n"/>
      <c r="C8" s="14" t="n"/>
      <c r="D8" s="15" t="n">
        <v>0.5</v>
      </c>
      <c r="E8" s="16">
        <f>C8*D8</f>
        <v/>
      </c>
      <c r="F8" s="17" t="n"/>
      <c r="G8" s="17" t="n"/>
      <c r="H8">
        <f>IF(G8&lt;&gt;"","PAID",IF(F8="","—",IF(TODAY()&gt;F8,"OVERDUE","DUE")))</f>
        <v/>
      </c>
      <c r="I8">
        <f>IF(AND(G8="",F8&lt;&gt;""),MAX(0,TODAY()-F8),0)</f>
        <v/>
      </c>
      <c r="J8" s="16">
        <f>C8-E8</f>
        <v/>
      </c>
      <c r="K8" s="17" t="n"/>
      <c r="L8" s="17" t="n"/>
      <c r="M8">
        <f>IF(L8&lt;&gt;"","PAID",IF(K8="","—",IF(TODAY()&gt;K8,"OVERDUE","DUE")))</f>
        <v/>
      </c>
      <c r="N8">
        <f>IF(AND(L8="",K8&lt;&gt;""),MAX(0,TODAY()-K8),0)</f>
        <v/>
      </c>
      <c r="O8" s="16">
        <f>(I8*E8+N8*J8)*$B$2/30</f>
        <v/>
      </c>
      <c r="P8" s="16">
        <f>IF(G8="",E8,0)+IF(L8="",J8,0)+O8</f>
        <v/>
      </c>
      <c r="Q8" s="13" t="n"/>
    </row>
    <row r="9">
      <c r="A9" s="13" t="n"/>
      <c r="B9" s="13" t="n"/>
      <c r="C9" s="14" t="n"/>
      <c r="D9" s="15" t="n">
        <v>0.5</v>
      </c>
      <c r="E9" s="16">
        <f>C9*D9</f>
        <v/>
      </c>
      <c r="F9" s="17" t="n"/>
      <c r="G9" s="17" t="n"/>
      <c r="H9">
        <f>IF(G9&lt;&gt;"","PAID",IF(F9="","—",IF(TODAY()&gt;F9,"OVERDUE","DUE")))</f>
        <v/>
      </c>
      <c r="I9">
        <f>IF(AND(G9="",F9&lt;&gt;""),MAX(0,TODAY()-F9),0)</f>
        <v/>
      </c>
      <c r="J9" s="16">
        <f>C9-E9</f>
        <v/>
      </c>
      <c r="K9" s="17" t="n"/>
      <c r="L9" s="17" t="n"/>
      <c r="M9">
        <f>IF(L9&lt;&gt;"","PAID",IF(K9="","—",IF(TODAY()&gt;K9,"OVERDUE","DUE")))</f>
        <v/>
      </c>
      <c r="N9">
        <f>IF(AND(L9="",K9&lt;&gt;""),MAX(0,TODAY()-K9),0)</f>
        <v/>
      </c>
      <c r="O9" s="16">
        <f>(I9*E9+N9*J9)*$B$2/30</f>
        <v/>
      </c>
      <c r="P9" s="16">
        <f>IF(G9="",E9,0)+IF(L9="",J9,0)+O9</f>
        <v/>
      </c>
      <c r="Q9" s="13" t="n"/>
    </row>
    <row r="10">
      <c r="A10" s="13" t="n"/>
      <c r="B10" s="13" t="n"/>
      <c r="C10" s="14" t="n"/>
      <c r="D10" s="15" t="n">
        <v>0.5</v>
      </c>
      <c r="E10" s="16">
        <f>C10*D10</f>
        <v/>
      </c>
      <c r="F10" s="17" t="n"/>
      <c r="G10" s="17" t="n"/>
      <c r="H10">
        <f>IF(G10&lt;&gt;"","PAID",IF(F10="","—",IF(TODAY()&gt;F10,"OVERDUE","DUE")))</f>
        <v/>
      </c>
      <c r="I10">
        <f>IF(AND(G10="",F10&lt;&gt;""),MAX(0,TODAY()-F10),0)</f>
        <v/>
      </c>
      <c r="J10" s="16">
        <f>C10-E10</f>
        <v/>
      </c>
      <c r="K10" s="17" t="n"/>
      <c r="L10" s="17" t="n"/>
      <c r="M10">
        <f>IF(L10&lt;&gt;"","PAID",IF(K10="","—",IF(TODAY()&gt;K10,"OVERDUE","DUE")))</f>
        <v/>
      </c>
      <c r="N10">
        <f>IF(AND(L10="",K10&lt;&gt;""),MAX(0,TODAY()-K10),0)</f>
        <v/>
      </c>
      <c r="O10" s="16">
        <f>(I10*E10+N10*J10)*$B$2/30</f>
        <v/>
      </c>
      <c r="P10" s="16">
        <f>IF(G10="",E10,0)+IF(L10="",J10,0)+O10</f>
        <v/>
      </c>
      <c r="Q10" s="13" t="n"/>
    </row>
    <row r="11">
      <c r="A11" s="13" t="n"/>
      <c r="B11" s="13" t="n"/>
      <c r="C11" s="14" t="n"/>
      <c r="D11" s="15" t="n">
        <v>0.5</v>
      </c>
      <c r="E11" s="16">
        <f>C11*D11</f>
        <v/>
      </c>
      <c r="F11" s="17" t="n"/>
      <c r="G11" s="17" t="n"/>
      <c r="H11">
        <f>IF(G11&lt;&gt;"","PAID",IF(F11="","—",IF(TODAY()&gt;F11,"OVERDUE","DUE")))</f>
        <v/>
      </c>
      <c r="I11">
        <f>IF(AND(G11="",F11&lt;&gt;""),MAX(0,TODAY()-F11),0)</f>
        <v/>
      </c>
      <c r="J11" s="16">
        <f>C11-E11</f>
        <v/>
      </c>
      <c r="K11" s="17" t="n"/>
      <c r="L11" s="17" t="n"/>
      <c r="M11">
        <f>IF(L11&lt;&gt;"","PAID",IF(K11="","—",IF(TODAY()&gt;K11,"OVERDUE","DUE")))</f>
        <v/>
      </c>
      <c r="N11">
        <f>IF(AND(L11="",K11&lt;&gt;""),MAX(0,TODAY()-K11),0)</f>
        <v/>
      </c>
      <c r="O11" s="16">
        <f>(I11*E11+N11*J11)*$B$2/30</f>
        <v/>
      </c>
      <c r="P11" s="16">
        <f>IF(G11="",E11,0)+IF(L11="",J11,0)+O11</f>
        <v/>
      </c>
      <c r="Q11" s="13" t="n"/>
    </row>
    <row r="12">
      <c r="A12" s="13" t="n"/>
      <c r="B12" s="13" t="n"/>
      <c r="C12" s="14" t="n"/>
      <c r="D12" s="15" t="n">
        <v>0.5</v>
      </c>
      <c r="E12" s="16">
        <f>C12*D12</f>
        <v/>
      </c>
      <c r="F12" s="17" t="n"/>
      <c r="G12" s="17" t="n"/>
      <c r="H12">
        <f>IF(G12&lt;&gt;"","PAID",IF(F12="","—",IF(TODAY()&gt;F12,"OVERDUE","DUE")))</f>
        <v/>
      </c>
      <c r="I12">
        <f>IF(AND(G12="",F12&lt;&gt;""),MAX(0,TODAY()-F12),0)</f>
        <v/>
      </c>
      <c r="J12" s="16">
        <f>C12-E12</f>
        <v/>
      </c>
      <c r="K12" s="17" t="n"/>
      <c r="L12" s="17" t="n"/>
      <c r="M12">
        <f>IF(L12&lt;&gt;"","PAID",IF(K12="","—",IF(TODAY()&gt;K12,"OVERDUE","DUE")))</f>
        <v/>
      </c>
      <c r="N12">
        <f>IF(AND(L12="",K12&lt;&gt;""),MAX(0,TODAY()-K12),0)</f>
        <v/>
      </c>
      <c r="O12" s="16">
        <f>(I12*E12+N12*J12)*$B$2/30</f>
        <v/>
      </c>
      <c r="P12" s="16">
        <f>IF(G12="",E12,0)+IF(L12="",J12,0)+O12</f>
        <v/>
      </c>
      <c r="Q12" s="13" t="n"/>
    </row>
    <row r="13">
      <c r="A13" s="13" t="n"/>
      <c r="B13" s="13" t="n"/>
      <c r="C13" s="14" t="n"/>
      <c r="D13" s="15" t="n">
        <v>0.5</v>
      </c>
      <c r="E13" s="16">
        <f>C13*D13</f>
        <v/>
      </c>
      <c r="F13" s="17" t="n"/>
      <c r="G13" s="17" t="n"/>
      <c r="H13">
        <f>IF(G13&lt;&gt;"","PAID",IF(F13="","—",IF(TODAY()&gt;F13,"OVERDUE","DUE")))</f>
        <v/>
      </c>
      <c r="I13">
        <f>IF(AND(G13="",F13&lt;&gt;""),MAX(0,TODAY()-F13),0)</f>
        <v/>
      </c>
      <c r="J13" s="16">
        <f>C13-E13</f>
        <v/>
      </c>
      <c r="K13" s="17" t="n"/>
      <c r="L13" s="17" t="n"/>
      <c r="M13">
        <f>IF(L13&lt;&gt;"","PAID",IF(K13="","—",IF(TODAY()&gt;K13,"OVERDUE","DUE")))</f>
        <v/>
      </c>
      <c r="N13">
        <f>IF(AND(L13="",K13&lt;&gt;""),MAX(0,TODAY()-K13),0)</f>
        <v/>
      </c>
      <c r="O13" s="16">
        <f>(I13*E13+N13*J13)*$B$2/30</f>
        <v/>
      </c>
      <c r="P13" s="16">
        <f>IF(G13="",E13,0)+IF(L13="",J13,0)+O13</f>
        <v/>
      </c>
      <c r="Q13" s="13" t="n"/>
    </row>
    <row r="14">
      <c r="A14" s="13" t="n"/>
      <c r="B14" s="13" t="n"/>
      <c r="C14" s="14" t="n"/>
      <c r="D14" s="15" t="n">
        <v>0.5</v>
      </c>
      <c r="E14" s="16">
        <f>C14*D14</f>
        <v/>
      </c>
      <c r="F14" s="17" t="n"/>
      <c r="G14" s="17" t="n"/>
      <c r="H14">
        <f>IF(G14&lt;&gt;"","PAID",IF(F14="","—",IF(TODAY()&gt;F14,"OVERDUE","DUE")))</f>
        <v/>
      </c>
      <c r="I14">
        <f>IF(AND(G14="",F14&lt;&gt;""),MAX(0,TODAY()-F14),0)</f>
        <v/>
      </c>
      <c r="J14" s="16">
        <f>C14-E14</f>
        <v/>
      </c>
      <c r="K14" s="17" t="n"/>
      <c r="L14" s="17" t="n"/>
      <c r="M14">
        <f>IF(L14&lt;&gt;"","PAID",IF(K14="","—",IF(TODAY()&gt;K14,"OVERDUE","DUE")))</f>
        <v/>
      </c>
      <c r="N14">
        <f>IF(AND(L14="",K14&lt;&gt;""),MAX(0,TODAY()-K14),0)</f>
        <v/>
      </c>
      <c r="O14" s="16">
        <f>(I14*E14+N14*J14)*$B$2/30</f>
        <v/>
      </c>
      <c r="P14" s="16">
        <f>IF(G14="",E14,0)+IF(L14="",J14,0)+O14</f>
        <v/>
      </c>
      <c r="Q14" s="13" t="n"/>
    </row>
    <row r="15">
      <c r="A15" s="11" t="inlineStr">
        <is>
          <t>TOTALS</t>
        </is>
      </c>
      <c r="O15" s="18">
        <f>SUM(O5:O14)</f>
        <v/>
      </c>
      <c r="P15" s="18">
        <f>SUM(P5:P14)</f>
        <v/>
      </c>
    </row>
  </sheetData>
  <mergeCells count="2">
    <mergeCell ref="A3:Q3"/>
    <mergeCell ref="A1:Q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M14"/>
  <sheetViews>
    <sheetView workbookViewId="0">
      <selection activeCell="A1" sqref="A1"/>
    </sheetView>
  </sheetViews>
  <sheetFormatPr baseColWidth="8" defaultRowHeight="15"/>
  <cols>
    <col width="14" customWidth="1" min="1" max="1"/>
    <col width="20" customWidth="1" min="2" max="2"/>
    <col width="12" customWidth="1" min="3" max="3"/>
    <col width="12" customWidth="1" min="4" max="4"/>
    <col width="22" customWidth="1" min="5" max="5"/>
    <col width="11" customWidth="1" min="6" max="6"/>
    <col width="34" customWidth="1" min="7" max="7"/>
    <col width="10" customWidth="1" min="8" max="8"/>
    <col width="13" customWidth="1" min="9" max="9"/>
    <col width="11" customWidth="1" min="10" max="10"/>
    <col width="14" customWidth="1" min="11" max="11"/>
    <col width="12" customWidth="1" min="12" max="12"/>
    <col width="20" customWidth="1" min="13" max="13"/>
  </cols>
  <sheetData>
    <row r="1">
      <c r="A1" s="1" t="inlineStr">
        <is>
          <t>USAGE-RIGHTS</t>
        </is>
      </c>
    </row>
    <row r="2">
      <c r="A2" s="2" t="inlineStr">
        <is>
          <t>Enter each usage license: start/end dates, platforms. The sheet flags windows expiring within 30 days and expired windows. Each EXPIRING flag is a renewal invoice waiting to happen.</t>
        </is>
      </c>
    </row>
    <row r="3">
      <c r="A3" s="7" t="inlineStr">
        <is>
          <t>Brand</t>
        </is>
      </c>
      <c r="B3" s="7" t="inlineStr">
        <is>
          <t>Deal</t>
        </is>
      </c>
      <c r="C3" s="7" t="inlineStr">
        <is>
          <t>Usage start</t>
        </is>
      </c>
      <c r="D3" s="7" t="inlineStr">
        <is>
          <t>Usage end</t>
        </is>
      </c>
      <c r="E3" s="7" t="inlineStr">
        <is>
          <t>Platforms</t>
        </is>
      </c>
      <c r="F3" s="7" t="inlineStr">
        <is>
          <t>Days to expiry</t>
        </is>
      </c>
      <c r="G3" s="7" t="inlineStr">
        <is>
          <t>Alert</t>
        </is>
      </c>
      <c r="H3" s="7" t="inlineStr">
        <is>
          <t>Exclusivity?</t>
        </is>
      </c>
      <c r="I3" s="7" t="inlineStr">
        <is>
          <t>Exclusivity end</t>
        </is>
      </c>
      <c r="J3" s="7" t="inlineStr">
        <is>
          <t>Excl. days left</t>
        </is>
      </c>
      <c r="K3" s="7" t="inlineStr">
        <is>
          <t>Monthly renewal fee (USD)</t>
        </is>
      </c>
      <c r="L3" s="7" t="inlineStr">
        <is>
          <t>Renewal due</t>
        </is>
      </c>
      <c r="M3" s="7" t="inlineStr">
        <is>
          <t>Notes</t>
        </is>
      </c>
    </row>
    <row r="4">
      <c r="A4" s="13" t="inlineStr">
        <is>
          <t>NordicWatch</t>
        </is>
      </c>
      <c r="B4" s="13" t="inlineStr">
        <is>
          <t>Ambassador Q4</t>
        </is>
      </c>
      <c r="C4" s="17" t="n">
        <v>45961</v>
      </c>
      <c r="D4" s="17" t="n">
        <v>46325</v>
      </c>
      <c r="E4" s="13" t="inlineStr">
        <is>
          <t>Instagram, TikTok</t>
        </is>
      </c>
      <c r="F4">
        <f>IF(D4="","—",D4-TODAY())</f>
        <v/>
      </c>
      <c r="G4">
        <f>IF(D4="","—",IF(D4&lt;TODAY(),"EXPIRED — invoice renewal or stop usage",IF(D4-TODAY()&lt;=30,"EXPIRING ≤30d — renegotiate now","OK")))</f>
        <v/>
      </c>
      <c r="H4" s="13" t="inlineStr">
        <is>
          <t>Yes</t>
        </is>
      </c>
      <c r="I4" s="17" t="n">
        <v>46051</v>
      </c>
      <c r="J4">
        <f>IF(I4="","—",I4-TODAY())</f>
        <v/>
      </c>
      <c r="K4" s="14" t="n">
        <v>400</v>
      </c>
      <c r="L4" s="16">
        <f>IF(AND(D4&lt;&gt;"",D4&lt;TODAY()),K4,0)</f>
        <v/>
      </c>
      <c r="M4" s="13" t="n"/>
    </row>
    <row r="5">
      <c r="A5" s="13" t="n"/>
      <c r="B5" s="13" t="n"/>
      <c r="C5" s="17" t="n"/>
      <c r="D5" s="17" t="n"/>
      <c r="E5" s="13" t="n"/>
      <c r="F5">
        <f>IF(D5="","—",D5-TODAY())</f>
        <v/>
      </c>
      <c r="G5">
        <f>IF(D5="","—",IF(D5&lt;TODAY(),"EXPIRED — invoice renewal or stop usage",IF(D5-TODAY()&lt;=30,"EXPIRING ≤30d — renegotiate now","OK")))</f>
        <v/>
      </c>
      <c r="H5" s="13" t="n"/>
      <c r="I5" s="17" t="n"/>
      <c r="J5">
        <f>IF(I5="","—",I5-TODAY())</f>
        <v/>
      </c>
      <c r="K5" s="14" t="n"/>
      <c r="L5" s="16">
        <f>IF(AND(D5&lt;&gt;"",D5&lt;TODAY()),K5,0)</f>
        <v/>
      </c>
      <c r="M5" s="13" t="n"/>
    </row>
    <row r="6">
      <c r="A6" s="13" t="n"/>
      <c r="B6" s="13" t="n"/>
      <c r="C6" s="17" t="n"/>
      <c r="D6" s="17" t="n"/>
      <c r="E6" s="13" t="n"/>
      <c r="F6">
        <f>IF(D6="","—",D6-TODAY())</f>
        <v/>
      </c>
      <c r="G6">
        <f>IF(D6="","—",IF(D6&lt;TODAY(),"EXPIRED — invoice renewal or stop usage",IF(D6-TODAY()&lt;=30,"EXPIRING ≤30d — renegotiate now","OK")))</f>
        <v/>
      </c>
      <c r="H6" s="13" t="n"/>
      <c r="I6" s="17" t="n"/>
      <c r="J6">
        <f>IF(I6="","—",I6-TODAY())</f>
        <v/>
      </c>
      <c r="K6" s="14" t="n"/>
      <c r="L6" s="16">
        <f>IF(AND(D6&lt;&gt;"",D6&lt;TODAY()),K6,0)</f>
        <v/>
      </c>
      <c r="M6" s="13" t="n"/>
    </row>
    <row r="7">
      <c r="A7" s="13" t="n"/>
      <c r="B7" s="13" t="n"/>
      <c r="C7" s="17" t="n"/>
      <c r="D7" s="17" t="n"/>
      <c r="E7" s="13" t="n"/>
      <c r="F7">
        <f>IF(D7="","—",D7-TODAY())</f>
        <v/>
      </c>
      <c r="G7">
        <f>IF(D7="","—",IF(D7&lt;TODAY(),"EXPIRED — invoice renewal or stop usage",IF(D7-TODAY()&lt;=30,"EXPIRING ≤30d — renegotiate now","OK")))</f>
        <v/>
      </c>
      <c r="H7" s="13" t="n"/>
      <c r="I7" s="17" t="n"/>
      <c r="J7">
        <f>IF(I7="","—",I7-TODAY())</f>
        <v/>
      </c>
      <c r="K7" s="14" t="n"/>
      <c r="L7" s="16">
        <f>IF(AND(D7&lt;&gt;"",D7&lt;TODAY()),K7,0)</f>
        <v/>
      </c>
      <c r="M7" s="13" t="n"/>
    </row>
    <row r="8">
      <c r="A8" s="13" t="n"/>
      <c r="B8" s="13" t="n"/>
      <c r="C8" s="17" t="n"/>
      <c r="D8" s="17" t="n"/>
      <c r="E8" s="13" t="n"/>
      <c r="F8">
        <f>IF(D8="","—",D8-TODAY())</f>
        <v/>
      </c>
      <c r="G8">
        <f>IF(D8="","—",IF(D8&lt;TODAY(),"EXPIRED — invoice renewal or stop usage",IF(D8-TODAY()&lt;=30,"EXPIRING ≤30d — renegotiate now","OK")))</f>
        <v/>
      </c>
      <c r="H8" s="13" t="n"/>
      <c r="I8" s="17" t="n"/>
      <c r="J8">
        <f>IF(I8="","—",I8-TODAY())</f>
        <v/>
      </c>
      <c r="K8" s="14" t="n"/>
      <c r="L8" s="16">
        <f>IF(AND(D8&lt;&gt;"",D8&lt;TODAY()),K8,0)</f>
        <v/>
      </c>
      <c r="M8" s="13" t="n"/>
    </row>
    <row r="9">
      <c r="A9" s="13" t="n"/>
      <c r="B9" s="13" t="n"/>
      <c r="C9" s="17" t="n"/>
      <c r="D9" s="17" t="n"/>
      <c r="E9" s="13" t="n"/>
      <c r="F9">
        <f>IF(D9="","—",D9-TODAY())</f>
        <v/>
      </c>
      <c r="G9">
        <f>IF(D9="","—",IF(D9&lt;TODAY(),"EXPIRED — invoice renewal or stop usage",IF(D9-TODAY()&lt;=30,"EXPIRING ≤30d — renegotiate now","OK")))</f>
        <v/>
      </c>
      <c r="H9" s="13" t="n"/>
      <c r="I9" s="17" t="n"/>
      <c r="J9">
        <f>IF(I9="","—",I9-TODAY())</f>
        <v/>
      </c>
      <c r="K9" s="14" t="n"/>
      <c r="L9" s="16">
        <f>IF(AND(D9&lt;&gt;"",D9&lt;TODAY()),K9,0)</f>
        <v/>
      </c>
      <c r="M9" s="13" t="n"/>
    </row>
    <row r="10">
      <c r="A10" s="13" t="n"/>
      <c r="B10" s="13" t="n"/>
      <c r="C10" s="17" t="n"/>
      <c r="D10" s="17" t="n"/>
      <c r="E10" s="13" t="n"/>
      <c r="F10">
        <f>IF(D10="","—",D10-TODAY())</f>
        <v/>
      </c>
      <c r="G10">
        <f>IF(D10="","—",IF(D10&lt;TODAY(),"EXPIRED — invoice renewal or stop usage",IF(D10-TODAY()&lt;=30,"EXPIRING ≤30d — renegotiate now","OK")))</f>
        <v/>
      </c>
      <c r="H10" s="13" t="n"/>
      <c r="I10" s="17" t="n"/>
      <c r="J10">
        <f>IF(I10="","—",I10-TODAY())</f>
        <v/>
      </c>
      <c r="K10" s="14" t="n"/>
      <c r="L10" s="16">
        <f>IF(AND(D10&lt;&gt;"",D10&lt;TODAY()),K10,0)</f>
        <v/>
      </c>
      <c r="M10" s="13" t="n"/>
    </row>
    <row r="11">
      <c r="A11" s="13" t="n"/>
      <c r="B11" s="13" t="n"/>
      <c r="C11" s="17" t="n"/>
      <c r="D11" s="17" t="n"/>
      <c r="E11" s="13" t="n"/>
      <c r="F11">
        <f>IF(D11="","—",D11-TODAY())</f>
        <v/>
      </c>
      <c r="G11">
        <f>IF(D11="","—",IF(D11&lt;TODAY(),"EXPIRED — invoice renewal or stop usage",IF(D11-TODAY()&lt;=30,"EXPIRING ≤30d — renegotiate now","OK")))</f>
        <v/>
      </c>
      <c r="H11" s="13" t="n"/>
      <c r="I11" s="17" t="n"/>
      <c r="J11">
        <f>IF(I11="","—",I11-TODAY())</f>
        <v/>
      </c>
      <c r="K11" s="14" t="n"/>
      <c r="L11" s="16">
        <f>IF(AND(D11&lt;&gt;"",D11&lt;TODAY()),K11,0)</f>
        <v/>
      </c>
      <c r="M11" s="13" t="n"/>
    </row>
    <row r="12">
      <c r="A12" s="13" t="n"/>
      <c r="B12" s="13" t="n"/>
      <c r="C12" s="17" t="n"/>
      <c r="D12" s="17" t="n"/>
      <c r="E12" s="13" t="n"/>
      <c r="F12">
        <f>IF(D12="","—",D12-TODAY())</f>
        <v/>
      </c>
      <c r="G12">
        <f>IF(D12="","—",IF(D12&lt;TODAY(),"EXPIRED — invoice renewal or stop usage",IF(D12-TODAY()&lt;=30,"EXPIRING ≤30d — renegotiate now","OK")))</f>
        <v/>
      </c>
      <c r="H12" s="13" t="n"/>
      <c r="I12" s="17" t="n"/>
      <c r="J12">
        <f>IF(I12="","—",I12-TODAY())</f>
        <v/>
      </c>
      <c r="K12" s="14" t="n"/>
      <c r="L12" s="16">
        <f>IF(AND(D12&lt;&gt;"",D12&lt;TODAY()),K12,0)</f>
        <v/>
      </c>
      <c r="M12" s="13" t="n"/>
    </row>
    <row r="13">
      <c r="A13" s="13" t="n"/>
      <c r="B13" s="13" t="n"/>
      <c r="C13" s="17" t="n"/>
      <c r="D13" s="17" t="n"/>
      <c r="E13" s="13" t="n"/>
      <c r="F13">
        <f>IF(D13="","—",D13-TODAY())</f>
        <v/>
      </c>
      <c r="G13">
        <f>IF(D13="","—",IF(D13&lt;TODAY(),"EXPIRED — invoice renewal or stop usage",IF(D13-TODAY()&lt;=30,"EXPIRING ≤30d — renegotiate now","OK")))</f>
        <v/>
      </c>
      <c r="H13" s="13" t="n"/>
      <c r="I13" s="17" t="n"/>
      <c r="J13">
        <f>IF(I13="","—",I13-TODAY())</f>
        <v/>
      </c>
      <c r="K13" s="14" t="n"/>
      <c r="L13" s="16">
        <f>IF(AND(D13&lt;&gt;"",D13&lt;TODAY()),K13,0)</f>
        <v/>
      </c>
      <c r="M13" s="13" t="n"/>
    </row>
    <row r="14">
      <c r="A14" s="11" t="inlineStr">
        <is>
          <t>TOTALS</t>
        </is>
      </c>
      <c r="L14" s="18">
        <f>SUM(L4:L13)</f>
        <v/>
      </c>
    </row>
  </sheetData>
  <mergeCells count="2">
    <mergeCell ref="A2:M2"/>
    <mergeCell ref="A1:M1"/>
  </mergeCells>
  <dataValidations count="1">
    <dataValidation sqref="H4:H13" showDropDown="0" showInputMessage="0" showErrorMessage="0" allowBlank="1" type="list">
      <formula1>"Yes,No"</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28"/>
  <sheetViews>
    <sheetView workbookViewId="0">
      <selection activeCell="A1" sqref="A1"/>
    </sheetView>
  </sheetViews>
  <sheetFormatPr baseColWidth="8" defaultRowHeight="15"/>
  <cols>
    <col width="22" customWidth="1" min="1" max="1"/>
    <col width="30" customWidth="1" min="2" max="2"/>
    <col width="22" customWidth="1" min="3" max="3"/>
    <col width="30" customWidth="1" min="4" max="4"/>
  </cols>
  <sheetData>
    <row r="1">
      <c r="A1" s="1" t="inlineStr">
        <is>
          <t>INVOICE</t>
        </is>
      </c>
    </row>
    <row r="2">
      <c r="A2" s="2" t="inlineStr">
        <is>
          <t>Complete your details once (they stay for every invoice). Ask the brand for their AP contact BEFORE invoicing. Invoice within 24 hours of the trigger (delivery/posting).</t>
        </is>
      </c>
    </row>
    <row r="3"/>
    <row r="4">
      <c r="A4" s="19" t="inlineStr">
        <is>
          <t>Your details</t>
        </is>
      </c>
      <c r="C4" s="19" t="inlineStr">
        <is>
          <t>Bill to</t>
        </is>
      </c>
    </row>
    <row r="5">
      <c r="A5" t="inlineStr">
        <is>
          <t>Name / studio</t>
        </is>
      </c>
      <c r="B5" s="13" t="n"/>
      <c r="C5" t="inlineStr">
        <is>
          <t>Brand legal name</t>
        </is>
      </c>
      <c r="D5" s="13" t="n"/>
    </row>
    <row r="6">
      <c r="A6" t="inlineStr">
        <is>
          <t>Email</t>
        </is>
      </c>
      <c r="B6" s="13" t="n"/>
      <c r="C6" t="inlineStr">
        <is>
          <t>AP contact name</t>
        </is>
      </c>
      <c r="D6" s="13" t="n"/>
    </row>
    <row r="7">
      <c r="A7" t="inlineStr">
        <is>
          <t>Address</t>
        </is>
      </c>
      <c r="B7" s="13" t="n"/>
      <c r="C7" t="inlineStr">
        <is>
          <t>AP email</t>
        </is>
      </c>
      <c r="D7" s="13" t="n"/>
    </row>
    <row r="8">
      <c r="A8" t="inlineStr">
        <is>
          <t>Tax ID</t>
        </is>
      </c>
      <c r="B8" s="13" t="n"/>
      <c r="C8" t="inlineStr">
        <is>
          <t>Brand address</t>
        </is>
      </c>
      <c r="D8" s="13" t="n"/>
    </row>
    <row r="9"/>
    <row r="10">
      <c r="A10" s="19" t="inlineStr">
        <is>
          <t>Invoice</t>
        </is>
      </c>
    </row>
    <row r="11">
      <c r="A11" t="inlineStr">
        <is>
          <t>Invoice #</t>
        </is>
      </c>
      <c r="B11" s="13" t="n"/>
      <c r="C11" t="inlineStr">
        <is>
          <t>Issue date</t>
        </is>
      </c>
      <c r="D11" s="17" t="n"/>
    </row>
    <row r="12">
      <c r="A12" t="inlineStr">
        <is>
          <t>Payment terms</t>
        </is>
      </c>
      <c r="B12" s="13" t="inlineStr">
        <is>
          <t>Net 30</t>
        </is>
      </c>
      <c r="C12" t="inlineStr">
        <is>
          <t>Due date</t>
        </is>
      </c>
      <c r="D12" s="17" t="n"/>
    </row>
    <row r="13"/>
    <row r="14">
      <c r="A14" s="19" t="inlineStr">
        <is>
          <t>Line items</t>
        </is>
      </c>
    </row>
    <row r="15">
      <c r="A15" s="7" t="inlineStr">
        <is>
          <t>Description</t>
        </is>
      </c>
      <c r="B15" s="7" t="inlineStr">
        <is>
          <t>Qty</t>
        </is>
      </c>
      <c r="C15" s="7" t="inlineStr">
        <is>
          <t>Rate (USD)</t>
        </is>
      </c>
      <c r="D15" s="7" t="inlineStr">
        <is>
          <t>Amount</t>
        </is>
      </c>
    </row>
    <row r="16">
      <c r="A16" s="13" t="n"/>
      <c r="B16" s="13" t="n"/>
      <c r="C16" s="14" t="n"/>
      <c r="D16" s="16">
        <f>B16*C16</f>
        <v/>
      </c>
    </row>
    <row r="17">
      <c r="A17" s="13" t="n"/>
      <c r="B17" s="13" t="n"/>
      <c r="C17" s="14" t="n"/>
      <c r="D17" s="16">
        <f>B17*C17</f>
        <v/>
      </c>
    </row>
    <row r="18">
      <c r="A18" s="13" t="n"/>
      <c r="B18" s="13" t="n"/>
      <c r="C18" s="14" t="n"/>
      <c r="D18" s="16">
        <f>B18*C18</f>
        <v/>
      </c>
    </row>
    <row r="19">
      <c r="A19" s="13" t="n"/>
      <c r="B19" s="13" t="n"/>
      <c r="C19" s="14" t="n"/>
      <c r="D19" s="16">
        <f>B19*C19</f>
        <v/>
      </c>
    </row>
    <row r="20">
      <c r="A20" s="13" t="n"/>
      <c r="B20" s="13" t="n"/>
      <c r="C20" s="14" t="n"/>
      <c r="D20" s="16">
        <f>B20*C20</f>
        <v/>
      </c>
    </row>
    <row r="21">
      <c r="C21" s="11" t="inlineStr">
        <is>
          <t>Subtotal</t>
        </is>
      </c>
      <c r="D21" s="18">
        <f>SUM(D16:D20)</f>
        <v/>
      </c>
    </row>
    <row r="22">
      <c r="B22" t="inlineStr">
        <is>
          <t>Tax %</t>
        </is>
      </c>
      <c r="C22" s="15" t="n">
        <v>0</v>
      </c>
      <c r="D22" s="16">
        <f>D21*C22</f>
        <v/>
      </c>
    </row>
    <row r="23">
      <c r="C23" s="20" t="inlineStr">
        <is>
          <t>TOTAL DUE</t>
        </is>
      </c>
      <c r="D23" s="21">
        <f>D21+D22</f>
        <v/>
      </c>
    </row>
    <row r="24"/>
    <row r="25">
      <c r="A25" s="19" t="inlineStr">
        <is>
          <t>Payment</t>
        </is>
      </c>
    </row>
    <row r="26">
      <c r="A26" t="inlineStr">
        <is>
          <t>Pay by (method + account)</t>
        </is>
      </c>
      <c r="B26" s="13" t="n"/>
    </row>
    <row r="27">
      <c r="A27" s="2" t="inlineStr">
        <is>
          <t>Late payments accrue 1.5% per month from the day after the due date, per our agreement.</t>
        </is>
      </c>
    </row>
    <row r="28">
      <c r="A28" t="inlineStr">
        <is>
          <t>Notes</t>
        </is>
      </c>
      <c r="B28" s="13" t="n"/>
    </row>
  </sheetData>
  <mergeCells count="5">
    <mergeCell ref="A1:D1"/>
    <mergeCell ref="B28:D28"/>
    <mergeCell ref="A27:D27"/>
    <mergeCell ref="B26:D26"/>
    <mergeCell ref="A2:D2"/>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G13"/>
  <sheetViews>
    <sheetView workbookViewId="0">
      <selection activeCell="A1" sqref="A1"/>
    </sheetView>
  </sheetViews>
  <sheetFormatPr baseColWidth="8" defaultRowHeight="15"/>
  <cols>
    <col width="26" customWidth="1" min="1" max="1"/>
    <col width="10" customWidth="1" min="2" max="2"/>
    <col width="24" customWidth="1" min="3" max="3"/>
    <col width="12" customWidth="1" min="4" max="4"/>
    <col width="26" customWidth="1" min="5" max="5"/>
    <col width="12" customWidth="1" min="6" max="6"/>
    <col width="10" customWidth="1" min="7" max="7"/>
  </cols>
  <sheetData>
    <row r="1">
      <c r="A1" s="1" t="inlineStr">
        <is>
          <t>CHASE-LOG</t>
        </is>
      </c>
    </row>
    <row r="2">
      <c r="A2" s="2" t="inlineStr">
        <is>
          <t>Steps: 1 = 3 days before due, 2 = due date, 3 = +7 days, 4 = +14 days, 5 = +30 days. Full email texts: docs 04-chase-sequence.md. Pick the step number; the template name and next action date fill in automatically.</t>
        </is>
      </c>
    </row>
    <row r="3">
      <c r="A3" s="7" t="inlineStr">
        <is>
          <t>Deal / Invoice</t>
        </is>
      </c>
      <c r="B3" s="7" t="inlineStr">
        <is>
          <t>Step (1-5)</t>
        </is>
      </c>
      <c r="C3" s="7" t="inlineStr">
        <is>
          <t>Template</t>
        </is>
      </c>
      <c r="D3" s="7" t="inlineStr">
        <is>
          <t>Date sent</t>
        </is>
      </c>
      <c r="E3" s="7" t="inlineStr">
        <is>
          <t>Response</t>
        </is>
      </c>
      <c r="F3" s="7" t="inlineStr">
        <is>
          <t>Next action</t>
        </is>
      </c>
      <c r="G3" s="7" t="inlineStr">
        <is>
          <t>Done?</t>
        </is>
      </c>
    </row>
    <row r="4">
      <c r="A4" s="13" t="inlineStr">
        <is>
          <t>FitFuel / INV-2026-011</t>
        </is>
      </c>
      <c r="B4" s="13" t="n">
        <v>1</v>
      </c>
      <c r="C4">
        <f>IF(B4="","",CHOOSE(B4,"Pre-due reminder","Due-date nudge","+7 firm follow-up","+14 formal notice","+30 final notice"))</f>
        <v/>
      </c>
      <c r="D4" s="17" t="n">
        <v>46269</v>
      </c>
      <c r="E4" s="13" t="inlineStr">
        <is>
          <t>—</t>
        </is>
      </c>
      <c r="F4" s="22">
        <f>IF(D4="","",D4+CHOOSE(B4,3,7,7,16,0))</f>
        <v/>
      </c>
      <c r="G4" s="13" t="inlineStr">
        <is>
          <t>DONE</t>
        </is>
      </c>
    </row>
    <row r="5">
      <c r="A5" s="13" t="inlineStr">
        <is>
          <t>FitFuel / INV-2026-011</t>
        </is>
      </c>
      <c r="B5" s="13" t="n">
        <v>2</v>
      </c>
      <c r="C5">
        <f>IF(B5="","",CHOOSE(B5,"Pre-due reminder","Due-date nudge","+7 firm follow-up","+14 formal notice","+30 final notice"))</f>
        <v/>
      </c>
      <c r="D5" s="17" t="n">
        <v>46272</v>
      </c>
      <c r="E5" s="13" t="inlineStr">
        <is>
          <t>—</t>
        </is>
      </c>
      <c r="F5" s="22">
        <f>IF(D5="","",D5+CHOOSE(B5,3,7,7,16,0))</f>
        <v/>
      </c>
      <c r="G5" s="13" t="inlineStr">
        <is>
          <t>DONE</t>
        </is>
      </c>
    </row>
    <row r="6">
      <c r="A6" s="13" t="inlineStr">
        <is>
          <t>FitFuel / INV-2026-011</t>
        </is>
      </c>
      <c r="B6" s="13" t="n">
        <v>3</v>
      </c>
      <c r="C6">
        <f>IF(B6="","",CHOOSE(B6,"Pre-due reminder","Due-date nudge","+7 firm follow-up","+14 formal notice","+30 final notice"))</f>
        <v/>
      </c>
      <c r="D6" s="17" t="n">
        <v>46279</v>
      </c>
      <c r="E6" s="13" t="inlineStr">
        <is>
          <t>—</t>
        </is>
      </c>
      <c r="F6" s="22">
        <f>IF(D6="","",D6+CHOOSE(B6,3,7,7,16,0))</f>
        <v/>
      </c>
      <c r="G6" s="13" t="inlineStr">
        <is>
          <t>DONE</t>
        </is>
      </c>
    </row>
    <row r="7">
      <c r="A7" s="13" t="inlineStr">
        <is>
          <t>FitFuel / INV-2026-011</t>
        </is>
      </c>
      <c r="B7" s="13" t="n">
        <v>4</v>
      </c>
      <c r="C7">
        <f>IF(B7="","",CHOOSE(B7,"Pre-due reminder","Due-date nudge","+7 firm follow-up","+14 formal notice","+30 final notice"))</f>
        <v/>
      </c>
      <c r="D7" s="17" t="n">
        <v>46286</v>
      </c>
      <c r="E7" s="13" t="inlineStr">
        <is>
          <t>—</t>
        </is>
      </c>
      <c r="F7" s="22">
        <f>IF(D7="","",D7+CHOOSE(B7,3,7,7,16,0))</f>
        <v/>
      </c>
      <c r="G7" s="13" t="inlineStr">
        <is>
          <t>DONE</t>
        </is>
      </c>
    </row>
    <row r="8">
      <c r="A8" s="13" t="n"/>
      <c r="B8" s="13" t="n"/>
      <c r="C8">
        <f>IF(B8="","",CHOOSE(B8,"Pre-due reminder","Due-date nudge","+7 firm follow-up","+14 formal notice","+30 final notice"))</f>
        <v/>
      </c>
      <c r="D8" s="17" t="n"/>
      <c r="E8" s="13" t="n"/>
      <c r="F8" s="22">
        <f>IF(D8="","",D8+CHOOSE(B8,3,7,7,16,0))</f>
        <v/>
      </c>
      <c r="G8" s="13" t="n"/>
    </row>
    <row r="9">
      <c r="A9" s="13" t="n"/>
      <c r="B9" s="13" t="n"/>
      <c r="C9">
        <f>IF(B9="","",CHOOSE(B9,"Pre-due reminder","Due-date nudge","+7 firm follow-up","+14 formal notice","+30 final notice"))</f>
        <v/>
      </c>
      <c r="D9" s="17" t="n"/>
      <c r="E9" s="13" t="n"/>
      <c r="F9" s="22">
        <f>IF(D9="","",D9+CHOOSE(B9,3,7,7,16,0))</f>
        <v/>
      </c>
      <c r="G9" s="13" t="n"/>
    </row>
    <row r="10">
      <c r="A10" s="13" t="n"/>
      <c r="B10" s="13" t="n"/>
      <c r="C10">
        <f>IF(B10="","",CHOOSE(B10,"Pre-due reminder","Due-date nudge","+7 firm follow-up","+14 formal notice","+30 final notice"))</f>
        <v/>
      </c>
      <c r="D10" s="17" t="n"/>
      <c r="E10" s="13" t="n"/>
      <c r="F10" s="22">
        <f>IF(D10="","",D10+CHOOSE(B10,3,7,7,16,0))</f>
        <v/>
      </c>
      <c r="G10" s="13" t="n"/>
    </row>
    <row r="11">
      <c r="A11" s="13" t="n"/>
      <c r="B11" s="13" t="n"/>
      <c r="C11">
        <f>IF(B11="","",CHOOSE(B11,"Pre-due reminder","Due-date nudge","+7 firm follow-up","+14 formal notice","+30 final notice"))</f>
        <v/>
      </c>
      <c r="D11" s="17" t="n"/>
      <c r="E11" s="13" t="n"/>
      <c r="F11" s="22">
        <f>IF(D11="","",D11+CHOOSE(B11,3,7,7,16,0))</f>
        <v/>
      </c>
      <c r="G11" s="13" t="n"/>
    </row>
    <row r="12">
      <c r="A12" s="13" t="n"/>
      <c r="B12" s="13" t="n"/>
      <c r="C12">
        <f>IF(B12="","",CHOOSE(B12,"Pre-due reminder","Due-date nudge","+7 firm follow-up","+14 formal notice","+30 final notice"))</f>
        <v/>
      </c>
      <c r="D12" s="17" t="n"/>
      <c r="E12" s="13" t="n"/>
      <c r="F12" s="22">
        <f>IF(D12="","",D12+CHOOSE(B12,3,7,7,16,0))</f>
        <v/>
      </c>
      <c r="G12" s="13" t="n"/>
    </row>
    <row r="13">
      <c r="A13" s="13" t="n"/>
      <c r="B13" s="13" t="n"/>
      <c r="C13">
        <f>IF(B13="","",CHOOSE(B13,"Pre-due reminder","Due-date nudge","+7 firm follow-up","+14 formal notice","+30 final notice"))</f>
        <v/>
      </c>
      <c r="D13" s="17" t="n"/>
      <c r="E13" s="13" t="n"/>
      <c r="F13" s="22">
        <f>IF(D13="","",D13+CHOOSE(B13,3,7,7,16,0))</f>
        <v/>
      </c>
      <c r="G13" s="13" t="n"/>
    </row>
  </sheetData>
  <mergeCells count="2">
    <mergeCell ref="A2:G2"/>
    <mergeCell ref="A1:G1"/>
  </mergeCells>
  <dataValidations count="2">
    <dataValidation sqref="B4:B13" showDropDown="0" showInputMessage="0" showErrorMessage="0" allowBlank="1" type="list">
      <formula1>"1,2,3,4,5"</formula1>
    </dataValidation>
    <dataValidation sqref="G4:G13" showDropDown="0" showInputMessage="0" showErrorMessage="0" allowBlank="1" type="list">
      <formula1>"DONE,PENDING"</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Q34"/>
  <sheetViews>
    <sheetView workbookViewId="0">
      <selection activeCell="A1" sqref="A1"/>
    </sheetView>
  </sheetViews>
  <sheetFormatPr baseColWidth="8" defaultRowHeight="15"/>
  <cols>
    <col width="14" customWidth="1" min="1" max="1"/>
    <col width="20" customWidth="1" min="2" max="2"/>
    <col width="12" customWidth="1" min="3" max="3"/>
    <col width="10" customWidth="1" min="4" max="4"/>
    <col width="12" customWidth="1" min="5" max="5"/>
    <col width="12" customWidth="1" min="6" max="6"/>
    <col width="12" customWidth="1" min="7" max="7"/>
    <col width="11" customWidth="1" min="8" max="8"/>
    <col width="10" customWidth="1" min="9" max="9"/>
    <col width="12" customWidth="1" min="10" max="10"/>
    <col width="12" customWidth="1" min="11" max="11"/>
    <col width="12" customWidth="1" min="12" max="12"/>
    <col width="11" customWidth="1" min="13" max="13"/>
    <col width="10" customWidth="1" min="14" max="14"/>
    <col width="13" customWidth="1" min="15" max="15"/>
    <col width="13" customWidth="1" min="16" max="16"/>
    <col width="22" customWidth="1" min="17" max="17"/>
  </cols>
  <sheetData>
    <row r="1">
      <c r="A1" s="1" t="inlineStr">
        <is>
          <t>WORKED-EXAMPLE</t>
        </is>
      </c>
    </row>
    <row r="2">
      <c r="A2" s="2" t="inlineStr">
        <is>
          <t>FICTIONAL example — Maya, beauty/fitness creator. Demonstrates every formula. “Today” in this example: 2026-10-22.</t>
        </is>
      </c>
    </row>
    <row r="3">
      <c r="A3" s="2" t="inlineStr">
        <is>
          <t>Three deals: one clean, one 45 days overdue ($39.38 late fee accruing), one usage window expiring in 8 days ($800 renewal captured). All values are formula-driven — change any input and watch.</t>
        </is>
      </c>
    </row>
    <row r="4">
      <c r="A4" s="11" t="inlineStr">
        <is>
          <t>Monthly late-fee rate (e.g. 0.015 = 1.5%)</t>
        </is>
      </c>
      <c r="B4" s="12" t="n">
        <v>0.015</v>
      </c>
    </row>
    <row r="5">
      <c r="A5" s="3" t="inlineStr">
        <is>
          <t>Deal 1 — GlowSkin serum launch: the clean one</t>
        </is>
      </c>
    </row>
    <row r="6">
      <c r="A6" s="2" t="inlineStr">
        <is>
          <t>$2,000 fee. Upfront $1,000 paid on signing; final $1,000 due 2026-08-15, paid 2026-08-15. Both milestones PAID, 0 days overdue, $0 outstanding. The system is quiet when the brand pays.</t>
        </is>
      </c>
    </row>
    <row r="7"/>
    <row r="8">
      <c r="A8" s="7" t="inlineStr">
        <is>
          <t>Brand</t>
        </is>
      </c>
      <c r="B8" s="7" t="inlineStr">
        <is>
          <t>Deal</t>
        </is>
      </c>
      <c r="C8" s="7" t="inlineStr">
        <is>
          <t>Total fee (USD)</t>
        </is>
      </c>
      <c r="D8" s="7" t="inlineStr">
        <is>
          <t>Upfront %</t>
        </is>
      </c>
      <c r="E8" s="7" t="inlineStr">
        <is>
          <t>Upfront amount</t>
        </is>
      </c>
      <c r="F8" s="7" t="inlineStr">
        <is>
          <t>Upfront due</t>
        </is>
      </c>
      <c r="G8" s="7" t="inlineStr">
        <is>
          <t>Upfront paid</t>
        </is>
      </c>
      <c r="H8" s="7" t="inlineStr">
        <is>
          <t>Upfront status</t>
        </is>
      </c>
      <c r="I8" s="7" t="inlineStr">
        <is>
          <t>Upfront days overdue</t>
        </is>
      </c>
      <c r="J8" s="7" t="inlineStr">
        <is>
          <t>Final amount</t>
        </is>
      </c>
      <c r="K8" s="7" t="inlineStr">
        <is>
          <t>Final due</t>
        </is>
      </c>
      <c r="L8" s="7" t="inlineStr">
        <is>
          <t>Final paid</t>
        </is>
      </c>
      <c r="M8" s="7" t="inlineStr">
        <is>
          <t>Final status</t>
        </is>
      </c>
      <c r="N8" s="7" t="inlineStr">
        <is>
          <t>Final days overdue</t>
        </is>
      </c>
      <c r="O8" s="7" t="inlineStr">
        <is>
          <t>Late fee accrued</t>
        </is>
      </c>
      <c r="P8" s="7" t="inlineStr">
        <is>
          <t>Total outstanding</t>
        </is>
      </c>
      <c r="Q8" s="7" t="inlineStr">
        <is>
          <t>Notes</t>
        </is>
      </c>
    </row>
    <row r="9">
      <c r="A9" t="inlineStr">
        <is>
          <t>GlowSkin</t>
        </is>
      </c>
      <c r="B9" t="inlineStr">
        <is>
          <t>Serum launch</t>
        </is>
      </c>
      <c r="C9" s="16" t="n">
        <v>2000</v>
      </c>
      <c r="D9" s="23" t="n">
        <v>0.5</v>
      </c>
      <c r="E9" s="16">
        <f>C9*D9</f>
        <v/>
      </c>
      <c r="F9" s="22" t="n">
        <v>46235</v>
      </c>
      <c r="G9" s="22" t="n">
        <v>46235</v>
      </c>
      <c r="H9">
        <f>IF(G9&lt;&gt;"","PAID",IF(F9="","—",IF(TODAY()&gt;F9,"OVERDUE","DUE")))</f>
        <v/>
      </c>
      <c r="I9">
        <f>IF(AND(G9="",F9&lt;&gt;""),MAX(0,TODAY()-F9),0)</f>
        <v/>
      </c>
      <c r="J9" s="16">
        <f>C9-E9</f>
        <v/>
      </c>
      <c r="K9" s="22" t="n">
        <v>46249</v>
      </c>
      <c r="L9" s="22" t="n">
        <v>46249</v>
      </c>
      <c r="M9">
        <f>IF(L9&lt;&gt;"","PAID",IF(K9="","—",IF(TODAY()&gt;K9,"OVERDUE","DUE")))</f>
        <v/>
      </c>
      <c r="N9">
        <f>IF(AND(L9="",K9&lt;&gt;""),MAX(0,TODAY()-K9),0)</f>
        <v/>
      </c>
      <c r="O9" s="16">
        <f>(I9*E9+N9*J9)*$B$4/30</f>
        <v/>
      </c>
      <c r="P9" s="16">
        <f>IF(G9="",E9,0)+IF(L9="",J9,0)+O9</f>
        <v/>
      </c>
    </row>
    <row r="10">
      <c r="A10" t="inlineStr">
        <is>
          <t>FitFuel</t>
        </is>
      </c>
      <c r="B10" t="inlineStr">
        <is>
          <t>3-video pack</t>
        </is>
      </c>
      <c r="C10" s="16" t="n">
        <v>3500</v>
      </c>
      <c r="D10" s="23" t="n">
        <v>0.5</v>
      </c>
      <c r="E10" s="16">
        <f>C10*D10</f>
        <v/>
      </c>
      <c r="F10" s="22" t="n">
        <v>46254</v>
      </c>
      <c r="G10" s="22" t="n">
        <v>46254</v>
      </c>
      <c r="H10">
        <f>IF(G10&lt;&gt;"","PAID",IF(F10="","—",IF(TODAY()&gt;F10,"OVERDUE","DUE")))</f>
        <v/>
      </c>
      <c r="I10">
        <f>IF(AND(G10="",F10&lt;&gt;""),MAX(0,TODAY()-F10),0)</f>
        <v/>
      </c>
      <c r="J10" s="16">
        <f>C10-E10</f>
        <v/>
      </c>
      <c r="K10" s="22" t="n">
        <v>46272</v>
      </c>
      <c r="L10" s="22" t="n"/>
      <c r="M10">
        <f>IF(L10&lt;&gt;"","PAID",IF(K10="","—",IF(TODAY()&gt;K10,"OVERDUE","DUE")))</f>
        <v/>
      </c>
      <c r="N10">
        <f>IF(AND(L10="",K10&lt;&gt;""),MAX(0,TODAY()-K10),0)</f>
        <v/>
      </c>
      <c r="O10" s="16">
        <f>(I10*E10+N10*J10)*$B$4/30</f>
        <v/>
      </c>
      <c r="P10" s="16">
        <f>IF(G10="",E10,0)+IF(L10="",J10,0)+O10</f>
        <v/>
      </c>
    </row>
    <row r="11"/>
    <row r="12"/>
    <row r="13">
      <c r="A13" s="3" t="inlineStr">
        <is>
          <t>Deal 2 — FitFuel 3-video pack: the late one</t>
        </is>
      </c>
    </row>
    <row r="14">
      <c r="A14" s="2" t="inlineStr">
        <is>
          <t>$3,500 fee. Upfront $1,750 paid. Final $1,750 due 2026-09-07, unpaid at 2026-10-22 = 45 days overdue. Late fee $1,750 × 1.5% × 45/30 = $39.38. Outstanding $1,789.38. Four chase steps logged; step 5 deadline passed — Maya is getting a lawyer's demand-letter quote. The paper trail is the product.</t>
        </is>
      </c>
    </row>
    <row r="15"/>
    <row r="16">
      <c r="A16" s="7" t="inlineStr">
        <is>
          <t>Deal / Invoice</t>
        </is>
      </c>
      <c r="B16" s="7" t="inlineStr">
        <is>
          <t>Step (1-5)</t>
        </is>
      </c>
      <c r="C16" s="7" t="inlineStr">
        <is>
          <t>Template</t>
        </is>
      </c>
      <c r="D16" s="7" t="inlineStr">
        <is>
          <t>Date sent</t>
        </is>
      </c>
      <c r="E16" s="7" t="inlineStr">
        <is>
          <t>Response</t>
        </is>
      </c>
      <c r="F16" s="7" t="inlineStr">
        <is>
          <t>Next action</t>
        </is>
      </c>
      <c r="G16" s="7" t="inlineStr">
        <is>
          <t>Done?</t>
        </is>
      </c>
    </row>
    <row r="17">
      <c r="A17" t="inlineStr">
        <is>
          <t>FitFuel / INV-2026-011</t>
        </is>
      </c>
      <c r="B17" t="n">
        <v>1</v>
      </c>
      <c r="C17">
        <f>IF(B17="","",CHOOSE(B17,"Pre-due reminder","Due-date nudge","+7 firm follow-up","+14 formal notice","+30 final notice"))</f>
        <v/>
      </c>
      <c r="D17" s="22" t="n">
        <v>46269</v>
      </c>
      <c r="E17" t="inlineStr">
        <is>
          <t>—</t>
        </is>
      </c>
      <c r="F17" s="22">
        <f>IF(D17="","",D17+CHOOSE(B17,3,7,7,16,0))</f>
        <v/>
      </c>
      <c r="G17" t="inlineStr">
        <is>
          <t>DONE</t>
        </is>
      </c>
    </row>
    <row r="18">
      <c r="A18" t="inlineStr">
        <is>
          <t>FitFuel / INV-2026-011</t>
        </is>
      </c>
      <c r="B18" t="n">
        <v>2</v>
      </c>
      <c r="C18">
        <f>IF(B18="","",CHOOSE(B18,"Pre-due reminder","Due-date nudge","+7 firm follow-up","+14 formal notice","+30 final notice"))</f>
        <v/>
      </c>
      <c r="D18" s="22" t="n">
        <v>46272</v>
      </c>
      <c r="E18" t="inlineStr">
        <is>
          <t>—</t>
        </is>
      </c>
      <c r="F18" s="22">
        <f>IF(D18="","",D18+CHOOSE(B18,3,7,7,16,0))</f>
        <v/>
      </c>
      <c r="G18" t="inlineStr">
        <is>
          <t>DONE</t>
        </is>
      </c>
    </row>
    <row r="19">
      <c r="A19" t="inlineStr">
        <is>
          <t>FitFuel / INV-2026-011</t>
        </is>
      </c>
      <c r="B19" t="n">
        <v>3</v>
      </c>
      <c r="C19">
        <f>IF(B19="","",CHOOSE(B19,"Pre-due reminder","Due-date nudge","+7 firm follow-up","+14 formal notice","+30 final notice"))</f>
        <v/>
      </c>
      <c r="D19" s="22" t="n">
        <v>46279</v>
      </c>
      <c r="E19" t="inlineStr">
        <is>
          <t>—</t>
        </is>
      </c>
      <c r="F19" s="22">
        <f>IF(D19="","",D19+CHOOSE(B19,3,7,7,16,0))</f>
        <v/>
      </c>
      <c r="G19" t="inlineStr">
        <is>
          <t>DONE</t>
        </is>
      </c>
    </row>
    <row r="20">
      <c r="A20" t="inlineStr">
        <is>
          <t>FitFuel / INV-2026-011</t>
        </is>
      </c>
      <c r="B20" t="n">
        <v>4</v>
      </c>
      <c r="C20">
        <f>IF(B20="","",CHOOSE(B20,"Pre-due reminder","Due-date nudge","+7 firm follow-up","+14 formal notice","+30 final notice"))</f>
        <v/>
      </c>
      <c r="D20" s="22" t="n">
        <v>46286</v>
      </c>
      <c r="E20" t="inlineStr">
        <is>
          <t>—</t>
        </is>
      </c>
      <c r="F20" s="22">
        <f>IF(D20="","",D20+CHOOSE(B20,3,7,7,16,0))</f>
        <v/>
      </c>
      <c r="G20" t="inlineStr">
        <is>
          <t>DONE</t>
        </is>
      </c>
    </row>
    <row r="21"/>
    <row r="22"/>
    <row r="23">
      <c r="A23" s="3" t="inlineStr">
        <is>
          <t>Deal 3 — NordicWatch: the usage-rights renewal</t>
        </is>
      </c>
    </row>
    <row r="24">
      <c r="A24" s="2" t="inlineStr">
        <is>
          <t>Usage license expires 2026-10-30: 8 days left = EXPIRING alert. Contract renewal fee $400/30 days. Maya emails the brand; they extend 60 days = $800 renewal revenue from one alert. Exclusivity (90 days) already expired — history, no alert.</t>
        </is>
      </c>
    </row>
    <row r="25"/>
    <row r="26">
      <c r="A26" s="7" t="inlineStr">
        <is>
          <t>Brand</t>
        </is>
      </c>
      <c r="B26" s="7" t="inlineStr">
        <is>
          <t>Deal</t>
        </is>
      </c>
      <c r="C26" s="7" t="inlineStr">
        <is>
          <t>Usage start</t>
        </is>
      </c>
      <c r="D26" s="7" t="inlineStr">
        <is>
          <t>Usage end</t>
        </is>
      </c>
      <c r="E26" s="7" t="inlineStr">
        <is>
          <t>Platforms</t>
        </is>
      </c>
      <c r="F26" s="7" t="inlineStr">
        <is>
          <t>Days to expiry</t>
        </is>
      </c>
      <c r="G26" s="7" t="inlineStr">
        <is>
          <t>Alert</t>
        </is>
      </c>
      <c r="H26" s="7" t="inlineStr">
        <is>
          <t>Exclusivity?</t>
        </is>
      </c>
      <c r="I26" s="7" t="inlineStr">
        <is>
          <t>Exclusivity end</t>
        </is>
      </c>
      <c r="J26" s="7" t="inlineStr">
        <is>
          <t>Excl. days left</t>
        </is>
      </c>
      <c r="K26" s="7" t="inlineStr">
        <is>
          <t>Monthly renewal fee (USD)</t>
        </is>
      </c>
      <c r="L26" s="7" t="inlineStr">
        <is>
          <t>Renewal due</t>
        </is>
      </c>
      <c r="M26" s="7" t="inlineStr">
        <is>
          <t>Notes</t>
        </is>
      </c>
    </row>
    <row r="27">
      <c r="A27" t="inlineStr">
        <is>
          <t>NordicWatch</t>
        </is>
      </c>
      <c r="B27" t="inlineStr">
        <is>
          <t>Ambassador Q4</t>
        </is>
      </c>
      <c r="C27" s="22" t="n">
        <v>45961</v>
      </c>
      <c r="D27" s="22" t="n">
        <v>46325</v>
      </c>
      <c r="E27" t="inlineStr">
        <is>
          <t>Instagram, TikTok</t>
        </is>
      </c>
      <c r="F27">
        <f>IF(D27="","—",D27-TODAY())</f>
        <v/>
      </c>
      <c r="G27">
        <f>IF(D27="","—",IF(D27&lt;TODAY(),"EXPIRED — invoice renewal or stop usage",IF(D27-TODAY()&lt;=30,"EXPIRING ≤30d — renegotiate now","OK")))</f>
        <v/>
      </c>
      <c r="H27" t="inlineStr">
        <is>
          <t>Yes</t>
        </is>
      </c>
      <c r="I27" s="22" t="n">
        <v>46051</v>
      </c>
      <c r="J27">
        <f>IF(I27="","—",I27-TODAY())</f>
        <v/>
      </c>
      <c r="K27" s="16" t="n">
        <v>400</v>
      </c>
      <c r="L27" s="16">
        <f>IF(AND(D27&lt;&gt;"",D27&lt;TODAY()),K27,0)</f>
        <v/>
      </c>
    </row>
    <row r="28"/>
    <row r="29"/>
    <row r="30">
      <c r="A30" s="3" t="inlineStr">
        <is>
          <t>Totals across three deals</t>
        </is>
      </c>
    </row>
    <row r="31">
      <c r="A31" s="2" t="inlineStr">
        <is>
          <t>$1,789.38 chased with a complete paper trail + $800 renewal revenue from one alert + one clean deal needing no attention.</t>
        </is>
      </c>
    </row>
    <row r="32"/>
    <row r="33">
      <c r="A33" s="3" t="inlineStr">
        <is>
          <t>The lesson</t>
        </is>
      </c>
    </row>
    <row r="34">
      <c r="A34" s="2" t="inlineStr">
        <is>
          <t>Enforcement is a system, not a confrontation: clauses before signing, dates in the tracker, emails on schedule, everything logged.</t>
        </is>
      </c>
    </row>
  </sheetData>
  <mergeCells count="13">
    <mergeCell ref="A14:Q14"/>
    <mergeCell ref="A31:Q31"/>
    <mergeCell ref="A6:Q6"/>
    <mergeCell ref="A3:Q3"/>
    <mergeCell ref="A30:Q30"/>
    <mergeCell ref="A34:Q34"/>
    <mergeCell ref="A24:Q24"/>
    <mergeCell ref="A2:Q2"/>
    <mergeCell ref="A13:Q13"/>
    <mergeCell ref="A33:Q33"/>
    <mergeCell ref="A1:Q1"/>
    <mergeCell ref="A23:Q23"/>
    <mergeCell ref="A5:Q5"/>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2026-10-22T09:40:58+00:00Z</dcterms:created>
  <dcterms:modified xmlns:dcterms="http://purl.org/dc/terms/" xmlns:xsi="http://www.w3.org/2001/XMLSchema-instance" xsi:type="dcterms:W3CDTF">2026-10-22T09:40:58+00:00Z</dcterms:modified>
</cp:coreProperties>
</file>